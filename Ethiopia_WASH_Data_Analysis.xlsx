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310d05076784c3df/Documents/GitHub projects/"/>
    </mc:Choice>
  </mc:AlternateContent>
  <bookViews>
    <workbookView xWindow="0" yWindow="0" windowWidth="13650" windowHeight="4100" activeTab="1"/>
  </bookViews>
  <sheets>
    <sheet name="Sheet2" sheetId="3" r:id="rId1"/>
    <sheet name="Wash_Data" sheetId="1" r:id="rId2"/>
    <sheet name="Data_Quality_Check" sheetId="2" r:id="rId3"/>
  </sheets>
  <externalReferences>
    <externalReference r:id="rId4"/>
  </externalReferences>
  <calcPr calcId="0"/>
  <pivotCaches>
    <pivotCache cacheId="7" r:id="rId5"/>
  </pivotCaches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2" i="1"/>
  <c r="B2" i="2"/>
</calcChain>
</file>

<file path=xl/sharedStrings.xml><?xml version="1.0" encoding="utf-8"?>
<sst xmlns="http://schemas.openxmlformats.org/spreadsheetml/2006/main" count="318" uniqueCount="20">
  <si>
    <t>country</t>
  </si>
  <si>
    <t>year</t>
  </si>
  <si>
    <t>residence_type</t>
  </si>
  <si>
    <t>service_type</t>
  </si>
  <si>
    <t>service_level</t>
  </si>
  <si>
    <t>value</t>
  </si>
  <si>
    <t>population</t>
  </si>
  <si>
    <t>ETH</t>
  </si>
  <si>
    <t>total</t>
  </si>
  <si>
    <t>Drinking water</t>
  </si>
  <si>
    <t>Basic service</t>
  </si>
  <si>
    <t>rural</t>
  </si>
  <si>
    <t>urban</t>
  </si>
  <si>
    <t>Quality check</t>
  </si>
  <si>
    <t>Total records</t>
  </si>
  <si>
    <t>Duplicate_Check</t>
  </si>
  <si>
    <t>Row Labels</t>
  </si>
  <si>
    <t>Grand Total</t>
  </si>
  <si>
    <t>Column Labels</t>
  </si>
  <si>
    <t>Average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</si>
</sst>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[Ethiopia_WASH_Data_Analysis.xlsx]Wash_Data!PivotTable3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Basic Drinking-Water Service Coverage in Ethiopia (2000–2024)</a:t>
            </a:r>
            <a:endParaRPr lang="en-US"/>
          </a:p>
        </c:rich>
      </c:tx>
      <c:layout>
        <c:manualLayout>
          <c:xMode val="edge"/>
          <c:yMode val="edge"/>
          <c:x val="0.22710411198600172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Wash_Data!$J$3:$J$4</c:f>
              <c:strCache>
                <c:ptCount val="1"/>
                <c:pt idx="0">
                  <c:v>rural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Wash_Data!$I$5:$I$30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Wash_Data!$J$5:$J$30</c:f>
              <c:numCache>
                <c:formatCode>General</c:formatCode>
                <c:ptCount val="25"/>
                <c:pt idx="0">
                  <c:v>8.6617155075072993</c:v>
                </c:pt>
                <c:pt idx="1">
                  <c:v>10.184841156006</c:v>
                </c:pt>
                <c:pt idx="2">
                  <c:v>11.690320968628001</c:v>
                </c:pt>
                <c:pt idx="3">
                  <c:v>13.178156852721999</c:v>
                </c:pt>
                <c:pt idx="4">
                  <c:v>14.648348808289001</c:v>
                </c:pt>
                <c:pt idx="5">
                  <c:v>16.100894927978999</c:v>
                </c:pt>
                <c:pt idx="6">
                  <c:v>17.535797119141002</c:v>
                </c:pt>
                <c:pt idx="7">
                  <c:v>18.953054428101002</c:v>
                </c:pt>
                <c:pt idx="8">
                  <c:v>20.352666854858001</c:v>
                </c:pt>
                <c:pt idx="9">
                  <c:v>21.734636306763001</c:v>
                </c:pt>
                <c:pt idx="10">
                  <c:v>23.098958969116001</c:v>
                </c:pt>
                <c:pt idx="11">
                  <c:v>24.445638656616001</c:v>
                </c:pt>
                <c:pt idx="12">
                  <c:v>25.774673461913999</c:v>
                </c:pt>
                <c:pt idx="13">
                  <c:v>27.08606338501</c:v>
                </c:pt>
                <c:pt idx="14">
                  <c:v>28.379808425903001</c:v>
                </c:pt>
                <c:pt idx="15">
                  <c:v>29.655910491943001</c:v>
                </c:pt>
                <c:pt idx="16">
                  <c:v>30.914365768433001</c:v>
                </c:pt>
                <c:pt idx="17">
                  <c:v>32.155178070067997</c:v>
                </c:pt>
                <c:pt idx="18">
                  <c:v>33.378345489502003</c:v>
                </c:pt>
                <c:pt idx="19">
                  <c:v>34.583866119385</c:v>
                </c:pt>
                <c:pt idx="20">
                  <c:v>35.771743774413999</c:v>
                </c:pt>
                <c:pt idx="21">
                  <c:v>36.94197845459</c:v>
                </c:pt>
                <c:pt idx="22">
                  <c:v>38.331371307372997</c:v>
                </c:pt>
                <c:pt idx="23">
                  <c:v>39.720355987548999</c:v>
                </c:pt>
                <c:pt idx="24">
                  <c:v>41.108932495117003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D-4BDC-802E-FAD04AED74E4}"/>
            </c:ext>
          </c:extLst>
        </c:ser>
        <c:ser>
          <c:idx val="1"/>
          <c:order val="1"/>
          <c:tx>
            <c:strRef>
              <c:f>Wash_Data!$K$3:$K$4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Wash_Data!$I$5:$I$30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Wash_Data!$K$5:$K$30</c:f>
              <c:numCache>
                <c:formatCode>General</c:formatCode>
                <c:ptCount val="25"/>
                <c:pt idx="0">
                  <c:v>13.402565002440999</c:v>
                </c:pt>
                <c:pt idx="1">
                  <c:v>14.784432411194</c:v>
                </c:pt>
                <c:pt idx="2">
                  <c:v>16.147500991821001</c:v>
                </c:pt>
                <c:pt idx="3">
                  <c:v>17.490867614746001</c:v>
                </c:pt>
                <c:pt idx="4">
                  <c:v>18.814867019653001</c:v>
                </c:pt>
                <c:pt idx="5">
                  <c:v>20.119525909423999</c:v>
                </c:pt>
                <c:pt idx="6">
                  <c:v>21.405115127563</c:v>
                </c:pt>
                <c:pt idx="7">
                  <c:v>22.675092697143999</c:v>
                </c:pt>
                <c:pt idx="8">
                  <c:v>23.963680267333999</c:v>
                </c:pt>
                <c:pt idx="9">
                  <c:v>25.229257583618001</c:v>
                </c:pt>
                <c:pt idx="10">
                  <c:v>26.472402572631999</c:v>
                </c:pt>
                <c:pt idx="11">
                  <c:v>27.692651748656999</c:v>
                </c:pt>
                <c:pt idx="12">
                  <c:v>28.890325546265</c:v>
                </c:pt>
                <c:pt idx="13">
                  <c:v>30.062297821045</c:v>
                </c:pt>
                <c:pt idx="14">
                  <c:v>31.211812973021999</c:v>
                </c:pt>
                <c:pt idx="15">
                  <c:v>32.33869934082</c:v>
                </c:pt>
                <c:pt idx="16">
                  <c:v>33.443077087402003</c:v>
                </c:pt>
                <c:pt idx="17">
                  <c:v>34.5246925354</c:v>
                </c:pt>
                <c:pt idx="18">
                  <c:v>35.583915710448998</c:v>
                </c:pt>
                <c:pt idx="19">
                  <c:v>36.620704650878999</c:v>
                </c:pt>
                <c:pt idx="20">
                  <c:v>37.634944915771001</c:v>
                </c:pt>
                <c:pt idx="21">
                  <c:v>38.626728057861001</c:v>
                </c:pt>
                <c:pt idx="22">
                  <c:v>39.779113769531001</c:v>
                </c:pt>
                <c:pt idx="23">
                  <c:v>40.919948577881001</c:v>
                </c:pt>
                <c:pt idx="24">
                  <c:v>42.04887008667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D-4BDC-802E-FAD04AED74E4}"/>
            </c:ext>
          </c:extLst>
        </c:ser>
        <c:ser>
          <c:idx val="2"/>
          <c:order val="2"/>
          <c:tx>
            <c:strRef>
              <c:f>Wash_Data!$L$3:$L$4</c:f>
              <c:strCache>
                <c:ptCount val="1"/>
                <c:pt idx="0">
                  <c:v>urban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Wash_Data!$I$5:$I$30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Wash_Data!$L$5:$L$30</c:f>
              <c:numCache>
                <c:formatCode>General</c:formatCode>
                <c:ptCount val="25"/>
                <c:pt idx="0">
                  <c:v>40.824867248535</c:v>
                </c:pt>
                <c:pt idx="1">
                  <c:v>40.998741149902003</c:v>
                </c:pt>
                <c:pt idx="2">
                  <c:v>41.172920227051002</c:v>
                </c:pt>
                <c:pt idx="3">
                  <c:v>41.347400665282997</c:v>
                </c:pt>
                <c:pt idx="4">
                  <c:v>41.5221824646</c:v>
                </c:pt>
                <c:pt idx="5">
                  <c:v>41.697269439697003</c:v>
                </c:pt>
                <c:pt idx="6">
                  <c:v>41.872657775878999</c:v>
                </c:pt>
                <c:pt idx="7">
                  <c:v>42.048351287842003</c:v>
                </c:pt>
                <c:pt idx="8">
                  <c:v>42.224342346191001</c:v>
                </c:pt>
                <c:pt idx="9">
                  <c:v>42.40064239502</c:v>
                </c:pt>
                <c:pt idx="10">
                  <c:v>42.577239990233998</c:v>
                </c:pt>
                <c:pt idx="11">
                  <c:v>42.754146575927997</c:v>
                </c:pt>
                <c:pt idx="12">
                  <c:v>42.931350708007997</c:v>
                </c:pt>
                <c:pt idx="13">
                  <c:v>43.108860015868999</c:v>
                </c:pt>
                <c:pt idx="14">
                  <c:v>43.286670684813998</c:v>
                </c:pt>
                <c:pt idx="15">
                  <c:v>43.464786529541001</c:v>
                </c:pt>
                <c:pt idx="16">
                  <c:v>43.643203735352003</c:v>
                </c:pt>
                <c:pt idx="17">
                  <c:v>43.821922302246001</c:v>
                </c:pt>
                <c:pt idx="18">
                  <c:v>44.000946044922003</c:v>
                </c:pt>
                <c:pt idx="19">
                  <c:v>44.180271148682003</c:v>
                </c:pt>
                <c:pt idx="20">
                  <c:v>44.359901428222997</c:v>
                </c:pt>
                <c:pt idx="21">
                  <c:v>44.539833068847997</c:v>
                </c:pt>
                <c:pt idx="22">
                  <c:v>44.720066070557003</c:v>
                </c:pt>
                <c:pt idx="23">
                  <c:v>44.900604248047003</c:v>
                </c:pt>
                <c:pt idx="24">
                  <c:v>45.081443786621001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3D-4BDC-802E-FAD04AED7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655856"/>
        <c:axId val="432649616"/>
      </c:lineChart>
      <c:catAx>
        <c:axId val="43265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49616"/>
        <c:crosses val="autoZero"/>
        <c:auto val="1"/>
        <c:lblAlgn val="ctr"/>
        <c:lblOffset val="100"/>
        <c:noMultiLvlLbl val="0"/>
      </c:catAx>
      <c:valAx>
        <c:axId val="43264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5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</xdr:colOff>
      <xdr:row>3</xdr:row>
      <xdr:rowOff>161925</xdr:rowOff>
    </xdr:from>
    <xdr:to>
      <xdr:col>6</xdr:col>
      <xdr:colOff>688975</xdr:colOff>
      <xdr:row>18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yob Mulugeta" refreshedDate="46318.80794027778" createdVersion="6" refreshedVersion="6" minRefreshableVersion="3" recordCount="75">
  <cacheSource type="worksheet">
    <worksheetSource ref="A1:H76" sheet="Wash_Data"/>
  </cacheSource>
  <cacheFields count="8">
    <cacheField name="country" numFmtId="0">
      <sharedItems/>
    </cacheField>
    <cacheField name="year" numFmtId="0">
      <sharedItems containsSemiMixedTypes="0" containsString="0" containsNumber="1" containsInteger="1" minValue="2000" maxValue="2024" count="25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residence_type" numFmtId="0">
      <sharedItems count="3">
        <s v="total"/>
        <s v="rural"/>
        <s v="urban"/>
      </sharedItems>
    </cacheField>
    <cacheField name="service_type" numFmtId="0">
      <sharedItems/>
    </cacheField>
    <cacheField name="service_level" numFmtId="0">
      <sharedItems/>
    </cacheField>
    <cacheField name="value" numFmtId="0">
      <sharedItems containsSemiMixedTypes="0" containsString="0" containsNumber="1" minValue="8.6617155075072993" maxValue="45.081443786621001"/>
    </cacheField>
    <cacheField name="population" numFmtId="0">
      <sharedItems containsSemiMixedTypes="0" containsString="0" containsNumber="1" minValue="4056544.5629603998" maxValue="55529639.862589002"/>
    </cacheField>
    <cacheField name="Duplicate_Check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">
  <r>
    <s v="ETH"/>
    <x v="0"/>
    <x v="0"/>
    <s v="Drinking water"/>
    <s v="Basic service"/>
    <n v="13.402565002440999"/>
    <n v="9034869.3024668992"/>
    <n v="1"/>
  </r>
  <r>
    <s v="ETH"/>
    <x v="0"/>
    <x v="1"/>
    <s v="Drinking water"/>
    <s v="Basic service"/>
    <n v="8.6617155075072993"/>
    <n v="4978324.4526260002"/>
    <n v="1"/>
  </r>
  <r>
    <s v="ETH"/>
    <x v="0"/>
    <x v="2"/>
    <s v="Drinking water"/>
    <s v="Basic service"/>
    <n v="40.824867248535"/>
    <n v="4056544.5629603998"/>
    <n v="1"/>
  </r>
  <r>
    <s v="ETH"/>
    <x v="1"/>
    <x v="0"/>
    <s v="Drinking water"/>
    <s v="Basic service"/>
    <n v="14.784432411194"/>
    <n v="10273371.206940999"/>
    <n v="1"/>
  </r>
  <r>
    <s v="ETH"/>
    <x v="1"/>
    <x v="1"/>
    <s v="Drinking water"/>
    <s v="Basic service"/>
    <n v="10.184841156006"/>
    <n v="6020801.8482582001"/>
    <n v="1"/>
  </r>
  <r>
    <s v="ETH"/>
    <x v="1"/>
    <x v="2"/>
    <s v="Drinking water"/>
    <s v="Basic service"/>
    <n v="40.998741149902003"/>
    <n v="4252569.0065540997"/>
    <n v="1"/>
  </r>
  <r>
    <s v="ETH"/>
    <x v="2"/>
    <x v="0"/>
    <s v="Drinking water"/>
    <s v="Basic service"/>
    <n v="16.147500991821001"/>
    <n v="11567345.818071"/>
    <n v="1"/>
  </r>
  <r>
    <s v="ETH"/>
    <x v="2"/>
    <x v="1"/>
    <s v="Drinking water"/>
    <s v="Basic service"/>
    <n v="11.690320968628001"/>
    <n v="7108376.8210926"/>
    <n v="1"/>
  </r>
  <r>
    <s v="ETH"/>
    <x v="2"/>
    <x v="2"/>
    <s v="Drinking water"/>
    <s v="Basic service"/>
    <n v="41.172920227051002"/>
    <n v="4458968.3833136996"/>
    <n v="1"/>
  </r>
  <r>
    <s v="ETH"/>
    <x v="3"/>
    <x v="0"/>
    <s v="Drinking water"/>
    <s v="Basic service"/>
    <n v="17.490867614746001"/>
    <n v="12913973.341771999"/>
    <n v="1"/>
  </r>
  <r>
    <s v="ETH"/>
    <x v="3"/>
    <x v="1"/>
    <s v="Drinking water"/>
    <s v="Basic service"/>
    <n v="13.178156852721999"/>
    <n v="8240154.4117767001"/>
    <n v="1"/>
  </r>
  <r>
    <s v="ETH"/>
    <x v="3"/>
    <x v="2"/>
    <s v="Drinking water"/>
    <s v="Basic service"/>
    <n v="41.347400665282997"/>
    <n v="4673819.6203961996"/>
    <n v="1"/>
  </r>
  <r>
    <s v="ETH"/>
    <x v="4"/>
    <x v="0"/>
    <s v="Drinking water"/>
    <s v="Basic service"/>
    <n v="18.814867019653001"/>
    <n v="14313825.141168"/>
    <n v="1"/>
  </r>
  <r>
    <s v="ETH"/>
    <x v="4"/>
    <x v="1"/>
    <s v="Drinking water"/>
    <s v="Basic service"/>
    <n v="14.648348808289001"/>
    <n v="9416280.2917077001"/>
    <n v="1"/>
  </r>
  <r>
    <s v="ETH"/>
    <x v="4"/>
    <x v="2"/>
    <s v="Drinking water"/>
    <s v="Basic service"/>
    <n v="41.5221824646"/>
    <n v="4897545.5739177996"/>
    <n v="1"/>
  </r>
  <r>
    <s v="ETH"/>
    <x v="5"/>
    <x v="0"/>
    <s v="Drinking water"/>
    <s v="Basic service"/>
    <n v="20.119525909423999"/>
    <n v="15767163.43121"/>
    <n v="1"/>
  </r>
  <r>
    <s v="ETH"/>
    <x v="5"/>
    <x v="1"/>
    <s v="Drinking water"/>
    <s v="Basic service"/>
    <n v="16.100894927978999"/>
    <n v="10636859.159215"/>
    <n v="1"/>
  </r>
  <r>
    <s v="ETH"/>
    <x v="5"/>
    <x v="2"/>
    <s v="Drinking water"/>
    <s v="Basic service"/>
    <n v="41.697269439697003"/>
    <n v="5130304.0212431997"/>
    <n v="1"/>
  </r>
  <r>
    <s v="ETH"/>
    <x v="6"/>
    <x v="0"/>
    <s v="Drinking water"/>
    <s v="Basic service"/>
    <n v="21.405115127563"/>
    <n v="17274674.946462002"/>
    <n v="1"/>
  </r>
  <r>
    <s v="ETH"/>
    <x v="6"/>
    <x v="1"/>
    <s v="Drinking water"/>
    <s v="Basic service"/>
    <n v="17.535797119141002"/>
    <n v="11901973.378210001"/>
    <n v="1"/>
  </r>
  <r>
    <s v="ETH"/>
    <x v="6"/>
    <x v="2"/>
    <s v="Drinking water"/>
    <s v="Basic service"/>
    <n v="41.872657775878999"/>
    <n v="5372700.8180988003"/>
    <n v="1"/>
  </r>
  <r>
    <s v="ETH"/>
    <x v="7"/>
    <x v="0"/>
    <s v="Drinking water"/>
    <s v="Basic service"/>
    <n v="22.675092697143999"/>
    <n v="18843731.489057999"/>
    <n v="1"/>
  </r>
  <r>
    <s v="ETH"/>
    <x v="7"/>
    <x v="1"/>
    <s v="Drinking water"/>
    <s v="Basic service"/>
    <n v="18.953054428101002"/>
    <n v="13212231.859114001"/>
    <n v="1"/>
  </r>
  <r>
    <s v="ETH"/>
    <x v="7"/>
    <x v="2"/>
    <s v="Drinking water"/>
    <s v="Basic service"/>
    <n v="42.048351287842003"/>
    <n v="5631499.9468820998"/>
    <n v="1"/>
  </r>
  <r>
    <s v="ETH"/>
    <x v="8"/>
    <x v="0"/>
    <s v="Drinking water"/>
    <s v="Basic service"/>
    <n v="23.963680267333999"/>
    <n v="20499411.088470001"/>
    <n v="1"/>
  </r>
  <r>
    <s v="ETH"/>
    <x v="8"/>
    <x v="1"/>
    <s v="Drinking water"/>
    <s v="Basic service"/>
    <n v="20.352666854858001"/>
    <n v="14535957.706621001"/>
    <n v="1"/>
  </r>
  <r>
    <s v="ETH"/>
    <x v="8"/>
    <x v="2"/>
    <s v="Drinking water"/>
    <s v="Basic service"/>
    <n v="42.224342346191001"/>
    <n v="5963453.2305993"/>
    <n v="1"/>
  </r>
  <r>
    <s v="ETH"/>
    <x v="9"/>
    <x v="0"/>
    <s v="Drinking water"/>
    <s v="Basic service"/>
    <n v="25.229257583618001"/>
    <n v="22203673.179692999"/>
    <n v="1"/>
  </r>
  <r>
    <s v="ETH"/>
    <x v="9"/>
    <x v="1"/>
    <s v="Drinking water"/>
    <s v="Basic service"/>
    <n v="21.734636306763001"/>
    <n v="15893571.035742"/>
    <n v="1"/>
  </r>
  <r>
    <s v="ETH"/>
    <x v="9"/>
    <x v="2"/>
    <s v="Drinking water"/>
    <s v="Basic service"/>
    <n v="42.40064239502"/>
    <n v="6310102.1858114004"/>
    <n v="1"/>
  </r>
  <r>
    <s v="ETH"/>
    <x v="10"/>
    <x v="0"/>
    <s v="Drinking water"/>
    <s v="Basic service"/>
    <n v="26.472402572631999"/>
    <n v="23967719.909359001"/>
    <n v="1"/>
  </r>
  <r>
    <s v="ETH"/>
    <x v="10"/>
    <x v="1"/>
    <s v="Drinking water"/>
    <s v="Basic service"/>
    <n v="23.098958969116001"/>
    <n v="17291453.815519001"/>
    <n v="1"/>
  </r>
  <r>
    <s v="ETH"/>
    <x v="10"/>
    <x v="2"/>
    <s v="Drinking water"/>
    <s v="Basic service"/>
    <n v="42.577239990233998"/>
    <n v="6676266.6373947002"/>
    <n v="1"/>
  </r>
  <r>
    <s v="ETH"/>
    <x v="11"/>
    <x v="0"/>
    <s v="Drinking water"/>
    <s v="Basic service"/>
    <n v="27.692651748656999"/>
    <n v="25795696.796078999"/>
    <n v="1"/>
  </r>
  <r>
    <s v="ETH"/>
    <x v="11"/>
    <x v="1"/>
    <s v="Drinking water"/>
    <s v="Basic service"/>
    <n v="24.445638656616001"/>
    <n v="18732649.878240999"/>
    <n v="1"/>
  </r>
  <r>
    <s v="ETH"/>
    <x v="11"/>
    <x v="2"/>
    <s v="Drinking water"/>
    <s v="Basic service"/>
    <n v="42.754146575927997"/>
    <n v="7063047.8629387002"/>
    <n v="1"/>
  </r>
  <r>
    <s v="ETH"/>
    <x v="12"/>
    <x v="0"/>
    <s v="Drinking water"/>
    <s v="Basic service"/>
    <n v="28.890325546265"/>
    <n v="27676575.655607998"/>
    <n v="1"/>
  </r>
  <r>
    <s v="ETH"/>
    <x v="12"/>
    <x v="1"/>
    <s v="Drinking water"/>
    <s v="Basic service"/>
    <n v="25.774673461913999"/>
    <n v="20207785.256549999"/>
    <n v="1"/>
  </r>
  <r>
    <s v="ETH"/>
    <x v="12"/>
    <x v="2"/>
    <s v="Drinking water"/>
    <s v="Basic service"/>
    <n v="42.931350708007997"/>
    <n v="7468791.1242284998"/>
    <n v="1"/>
  </r>
  <r>
    <s v="ETH"/>
    <x v="13"/>
    <x v="0"/>
    <s v="Drinking water"/>
    <s v="Basic service"/>
    <n v="30.062297821045"/>
    <n v="29592950.496936999"/>
    <n v="1"/>
  </r>
  <r>
    <s v="ETH"/>
    <x v="13"/>
    <x v="1"/>
    <s v="Drinking water"/>
    <s v="Basic service"/>
    <n v="27.08606338501"/>
    <n v="21710496.072184"/>
    <n v="1"/>
  </r>
  <r>
    <s v="ETH"/>
    <x v="13"/>
    <x v="2"/>
    <s v="Drinking water"/>
    <s v="Basic service"/>
    <n v="43.108860015868999"/>
    <n v="7882454.1917244997"/>
    <n v="1"/>
  </r>
  <r>
    <s v="ETH"/>
    <x v="14"/>
    <x v="0"/>
    <s v="Drinking water"/>
    <s v="Basic service"/>
    <n v="31.211812973021999"/>
    <n v="31560015.079730999"/>
    <n v="1"/>
  </r>
  <r>
    <s v="ETH"/>
    <x v="14"/>
    <x v="1"/>
    <s v="Drinking water"/>
    <s v="Basic service"/>
    <n v="28.379808425903001"/>
    <n v="23244670.533163998"/>
    <n v="1"/>
  </r>
  <r>
    <s v="ETH"/>
    <x v="14"/>
    <x v="2"/>
    <s v="Drinking water"/>
    <s v="Basic service"/>
    <n v="43.286670684813998"/>
    <n v="8315345.1980173001"/>
    <n v="1"/>
  </r>
  <r>
    <s v="ETH"/>
    <x v="15"/>
    <x v="0"/>
    <s v="Drinking water"/>
    <s v="Basic service"/>
    <n v="32.33869934082"/>
    <n v="33589280.501574002"/>
    <n v="1"/>
  </r>
  <r>
    <s v="ETH"/>
    <x v="15"/>
    <x v="1"/>
    <s v="Drinking water"/>
    <s v="Basic service"/>
    <n v="29.655910491943001"/>
    <n v="24818388.550567999"/>
    <n v="1"/>
  </r>
  <r>
    <s v="ETH"/>
    <x v="15"/>
    <x v="2"/>
    <s v="Drinking water"/>
    <s v="Basic service"/>
    <n v="43.464786529541001"/>
    <n v="8770892.2760428991"/>
    <n v="1"/>
  </r>
  <r>
    <s v="ETH"/>
    <x v="16"/>
    <x v="0"/>
    <s v="Drinking water"/>
    <s v="Basic service"/>
    <n v="33.443077087402003"/>
    <n v="35689837.183918998"/>
    <n v="1"/>
  </r>
  <r>
    <s v="ETH"/>
    <x v="16"/>
    <x v="1"/>
    <s v="Drinking water"/>
    <s v="Basic service"/>
    <n v="30.914365768433001"/>
    <n v="26437201.402042001"/>
    <n v="1"/>
  </r>
  <r>
    <s v="ETH"/>
    <x v="16"/>
    <x v="2"/>
    <s v="Drinking water"/>
    <s v="Basic service"/>
    <n v="43.643203735352003"/>
    <n v="9252634.1440781001"/>
    <n v="1"/>
  </r>
  <r>
    <s v="ETH"/>
    <x v="17"/>
    <x v="0"/>
    <s v="Drinking water"/>
    <s v="Basic service"/>
    <n v="34.5246925354"/>
    <n v="37862015.379643001"/>
    <n v="1"/>
  </r>
  <r>
    <s v="ETH"/>
    <x v="17"/>
    <x v="1"/>
    <s v="Drinking water"/>
    <s v="Basic service"/>
    <n v="32.155178070067997"/>
    <n v="28101444.225958999"/>
    <n v="1"/>
  </r>
  <r>
    <s v="ETH"/>
    <x v="17"/>
    <x v="2"/>
    <s v="Drinking water"/>
    <s v="Basic service"/>
    <n v="43.821922302246001"/>
    <n v="9760571.5678157005"/>
    <n v="1"/>
  </r>
  <r>
    <s v="ETH"/>
    <x v="18"/>
    <x v="0"/>
    <s v="Drinking water"/>
    <s v="Basic service"/>
    <n v="35.583915710448998"/>
    <n v="40090316.883571997"/>
    <n v="1"/>
  </r>
  <r>
    <s v="ETH"/>
    <x v="18"/>
    <x v="1"/>
    <s v="Drinking water"/>
    <s v="Basic service"/>
    <n v="33.378345489502003"/>
    <n v="29797415.115217999"/>
    <n v="1"/>
  </r>
  <r>
    <s v="ETH"/>
    <x v="18"/>
    <x v="2"/>
    <s v="Drinking water"/>
    <s v="Basic service"/>
    <n v="44.000946044922003"/>
    <n v="10292902.823161"/>
    <n v="1"/>
  </r>
  <r>
    <s v="ETH"/>
    <x v="19"/>
    <x v="0"/>
    <s v="Drinking water"/>
    <s v="Basic service"/>
    <n v="36.620704650878999"/>
    <n v="42383845.199087001"/>
    <n v="1"/>
  </r>
  <r>
    <s v="ETH"/>
    <x v="19"/>
    <x v="1"/>
    <s v="Drinking water"/>
    <s v="Basic service"/>
    <n v="34.583866119385"/>
    <n v="31530846.685713999"/>
    <n v="1"/>
  </r>
  <r>
    <s v="ETH"/>
    <x v="19"/>
    <x v="2"/>
    <s v="Drinking water"/>
    <s v="Basic service"/>
    <n v="44.180271148682003"/>
    <n v="10852997.592773"/>
    <n v="1"/>
  </r>
  <r>
    <s v="ETH"/>
    <x v="20"/>
    <x v="0"/>
    <s v="Drinking water"/>
    <s v="Basic service"/>
    <n v="37.634944915771001"/>
    <n v="44754599.975968003"/>
    <n v="1"/>
  </r>
  <r>
    <s v="ETH"/>
    <x v="20"/>
    <x v="1"/>
    <s v="Drinking water"/>
    <s v="Basic service"/>
    <n v="35.771743774413999"/>
    <n v="33310104.072229002"/>
    <n v="1"/>
  </r>
  <r>
    <s v="ETH"/>
    <x v="20"/>
    <x v="2"/>
    <s v="Drinking water"/>
    <s v="Basic service"/>
    <n v="44.359901428222997"/>
    <n v="11444494.366082"/>
    <n v="1"/>
  </r>
  <r>
    <s v="ETH"/>
    <x v="21"/>
    <x v="0"/>
    <s v="Drinking water"/>
    <s v="Basic service"/>
    <n v="38.626728057861001"/>
    <n v="47178140.240471996"/>
    <n v="1"/>
  </r>
  <r>
    <s v="ETH"/>
    <x v="21"/>
    <x v="1"/>
    <s v="Drinking water"/>
    <s v="Basic service"/>
    <n v="36.94197845459"/>
    <n v="35115410.405805998"/>
    <n v="1"/>
  </r>
  <r>
    <s v="ETH"/>
    <x v="21"/>
    <x v="2"/>
    <s v="Drinking water"/>
    <s v="Basic service"/>
    <n v="44.539833068847997"/>
    <n v="12062728.334815999"/>
    <n v="1"/>
  </r>
  <r>
    <s v="ETH"/>
    <x v="22"/>
    <x v="0"/>
    <s v="Drinking water"/>
    <s v="Basic service"/>
    <n v="39.779113769531001"/>
    <n v="49876758.174846001"/>
    <n v="1"/>
  </r>
  <r>
    <s v="ETH"/>
    <x v="22"/>
    <x v="1"/>
    <s v="Drinking water"/>
    <s v="Basic service"/>
    <n v="38.331371307372997"/>
    <n v="37170295.671414003"/>
    <n v="1"/>
  </r>
  <r>
    <s v="ETH"/>
    <x v="22"/>
    <x v="2"/>
    <s v="Drinking water"/>
    <s v="Basic service"/>
    <n v="44.720066070557003"/>
    <n v="12706461.737647999"/>
    <n v="1"/>
  </r>
  <r>
    <s v="ETH"/>
    <x v="23"/>
    <x v="0"/>
    <s v="Drinking water"/>
    <s v="Basic service"/>
    <n v="40.919948577881001"/>
    <n v="52660574.190404996"/>
    <n v="1"/>
  </r>
  <r>
    <s v="ETH"/>
    <x v="23"/>
    <x v="1"/>
    <s v="Drinking water"/>
    <s v="Basic service"/>
    <n v="39.720355987548999"/>
    <n v="39279682.470081002"/>
    <n v="1"/>
  </r>
  <r>
    <s v="ETH"/>
    <x v="23"/>
    <x v="2"/>
    <s v="Drinking water"/>
    <s v="Basic service"/>
    <n v="44.900604248047003"/>
    <n v="13380890.136782"/>
    <n v="1"/>
  </r>
  <r>
    <s v="ETH"/>
    <x v="24"/>
    <x v="0"/>
    <s v="Drinking water"/>
    <s v="Basic service"/>
    <n v="42.04887008667"/>
    <n v="55529639.862589002"/>
    <n v="1"/>
  </r>
  <r>
    <s v="ETH"/>
    <x v="24"/>
    <x v="1"/>
    <s v="Drinking water"/>
    <s v="Basic service"/>
    <n v="41.108932495117003"/>
    <n v="41443190.869592004"/>
    <n v="1"/>
  </r>
  <r>
    <s v="ETH"/>
    <x v="24"/>
    <x v="2"/>
    <s v="Drinking water"/>
    <s v="Basic service"/>
    <n v="45.081443786621001"/>
    <n v="14086445.46309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I3:M30" firstHeaderRow="1" firstDataRow="2" firstDataCol="1"/>
  <pivotFields count="8"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value" fld="5" subtotal="average" baseField="1" baseItem="0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abSelected="1" topLeftCell="A7" workbookViewId="0">
      <selection activeCell="I3" sqref="I3"/>
    </sheetView>
  </sheetViews>
  <sheetFormatPr defaultRowHeight="14.5" x14ac:dyDescent="0.35"/>
  <cols>
    <col min="1" max="1" width="9.54296875" customWidth="1"/>
    <col min="2" max="2" width="10.90625" customWidth="1"/>
    <col min="3" max="3" width="15.6328125" customWidth="1"/>
    <col min="4" max="4" width="14.08984375" customWidth="1"/>
    <col min="5" max="5" width="13.81640625" customWidth="1"/>
    <col min="6" max="6" width="12.81640625" customWidth="1"/>
    <col min="7" max="7" width="14.36328125" customWidth="1"/>
    <col min="8" max="8" width="15.6328125" customWidth="1"/>
    <col min="9" max="9" width="14.7265625" customWidth="1"/>
    <col min="10" max="10" width="15.26953125" bestFit="1" customWidth="1"/>
    <col min="11" max="12" width="11.81640625" customWidth="1"/>
    <col min="13" max="13" width="11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13" x14ac:dyDescent="0.35">
      <c r="A2" t="s">
        <v>7</v>
      </c>
      <c r="B2">
        <v>2000</v>
      </c>
      <c r="C2" t="s">
        <v>8</v>
      </c>
      <c r="D2" t="s">
        <v>9</v>
      </c>
      <c r="E2" t="s">
        <v>10</v>
      </c>
      <c r="F2">
        <v>13.402565002440999</v>
      </c>
      <c r="G2">
        <v>9034869.3024668992</v>
      </c>
      <c r="H2">
        <f>COUNTIFS(B:B,B2,C:C,C2)</f>
        <v>1</v>
      </c>
      <c r="I2">
        <f>MIN(F2:F77)</f>
        <v>8.6617155075072993</v>
      </c>
    </row>
    <row r="3" spans="1:13" x14ac:dyDescent="0.35">
      <c r="A3" t="s">
        <v>7</v>
      </c>
      <c r="B3">
        <v>2000</v>
      </c>
      <c r="C3" t="s">
        <v>11</v>
      </c>
      <c r="D3" t="s">
        <v>9</v>
      </c>
      <c r="E3" t="s">
        <v>10</v>
      </c>
      <c r="F3">
        <v>8.6617155075072993</v>
      </c>
      <c r="G3">
        <v>4978324.4526260002</v>
      </c>
      <c r="H3">
        <f t="shared" ref="H3:H66" si="0">COUNTIFS(B:B,B3,C:C,C3)</f>
        <v>1</v>
      </c>
      <c r="I3" s="2" t="s">
        <v>19</v>
      </c>
      <c r="J3" s="2" t="s">
        <v>18</v>
      </c>
    </row>
    <row r="4" spans="1:13" x14ac:dyDescent="0.35">
      <c r="A4" t="s">
        <v>7</v>
      </c>
      <c r="B4">
        <v>2000</v>
      </c>
      <c r="C4" t="s">
        <v>12</v>
      </c>
      <c r="D4" t="s">
        <v>9</v>
      </c>
      <c r="E4" t="s">
        <v>10</v>
      </c>
      <c r="F4">
        <v>40.824867248535</v>
      </c>
      <c r="G4">
        <v>4056544.5629603998</v>
      </c>
      <c r="H4">
        <f t="shared" si="0"/>
        <v>1</v>
      </c>
      <c r="I4" s="2" t="s">
        <v>16</v>
      </c>
      <c r="J4" t="s">
        <v>11</v>
      </c>
      <c r="K4" t="s">
        <v>8</v>
      </c>
      <c r="L4" t="s">
        <v>12</v>
      </c>
      <c r="M4" t="s">
        <v>17</v>
      </c>
    </row>
    <row r="5" spans="1:13" x14ac:dyDescent="0.35">
      <c r="A5" t="s">
        <v>7</v>
      </c>
      <c r="B5">
        <v>2001</v>
      </c>
      <c r="C5" t="s">
        <v>8</v>
      </c>
      <c r="D5" t="s">
        <v>9</v>
      </c>
      <c r="E5" t="s">
        <v>10</v>
      </c>
      <c r="F5">
        <v>14.784432411194</v>
      </c>
      <c r="G5">
        <v>10273371.206940999</v>
      </c>
      <c r="H5">
        <f t="shared" si="0"/>
        <v>1</v>
      </c>
      <c r="I5" s="3">
        <v>2000</v>
      </c>
      <c r="J5" s="1">
        <v>8.6617155075072993</v>
      </c>
      <c r="K5" s="1">
        <v>13.402565002440999</v>
      </c>
      <c r="L5" s="1">
        <v>40.824867248535</v>
      </c>
      <c r="M5" s="1">
        <v>20.963049252827766</v>
      </c>
    </row>
    <row r="6" spans="1:13" x14ac:dyDescent="0.35">
      <c r="A6" t="s">
        <v>7</v>
      </c>
      <c r="B6">
        <v>2001</v>
      </c>
      <c r="C6" t="s">
        <v>11</v>
      </c>
      <c r="D6" t="s">
        <v>9</v>
      </c>
      <c r="E6" t="s">
        <v>10</v>
      </c>
      <c r="F6">
        <v>10.184841156006</v>
      </c>
      <c r="G6">
        <v>6020801.8482582001</v>
      </c>
      <c r="H6">
        <f t="shared" si="0"/>
        <v>1</v>
      </c>
      <c r="I6" s="3">
        <v>2001</v>
      </c>
      <c r="J6" s="1">
        <v>10.184841156006</v>
      </c>
      <c r="K6" s="1">
        <v>14.784432411194</v>
      </c>
      <c r="L6" s="1">
        <v>40.998741149902003</v>
      </c>
      <c r="M6" s="1">
        <v>21.989338239033998</v>
      </c>
    </row>
    <row r="7" spans="1:13" x14ac:dyDescent="0.35">
      <c r="A7" t="s">
        <v>7</v>
      </c>
      <c r="B7">
        <v>2001</v>
      </c>
      <c r="C7" t="s">
        <v>12</v>
      </c>
      <c r="D7" t="s">
        <v>9</v>
      </c>
      <c r="E7" t="s">
        <v>10</v>
      </c>
      <c r="F7">
        <v>40.998741149902003</v>
      </c>
      <c r="G7">
        <v>4252569.0065540997</v>
      </c>
      <c r="H7">
        <f t="shared" si="0"/>
        <v>1</v>
      </c>
      <c r="I7" s="3">
        <v>2002</v>
      </c>
      <c r="J7" s="1">
        <v>11.690320968628001</v>
      </c>
      <c r="K7" s="1">
        <v>16.147500991821001</v>
      </c>
      <c r="L7" s="1">
        <v>41.172920227051002</v>
      </c>
      <c r="M7" s="1">
        <v>23.003580729166668</v>
      </c>
    </row>
    <row r="8" spans="1:13" x14ac:dyDescent="0.35">
      <c r="A8" t="s">
        <v>7</v>
      </c>
      <c r="B8">
        <v>2002</v>
      </c>
      <c r="C8" t="s">
        <v>8</v>
      </c>
      <c r="D8" t="s">
        <v>9</v>
      </c>
      <c r="E8" t="s">
        <v>10</v>
      </c>
      <c r="F8">
        <v>16.147500991821001</v>
      </c>
      <c r="G8">
        <v>11567345.818071</v>
      </c>
      <c r="H8">
        <f t="shared" si="0"/>
        <v>1</v>
      </c>
      <c r="I8" s="3">
        <v>2003</v>
      </c>
      <c r="J8" s="1">
        <v>13.178156852721999</v>
      </c>
      <c r="K8" s="1">
        <v>17.490867614746001</v>
      </c>
      <c r="L8" s="1">
        <v>41.347400665282997</v>
      </c>
      <c r="M8" s="1">
        <v>24.005475044250332</v>
      </c>
    </row>
    <row r="9" spans="1:13" x14ac:dyDescent="0.35">
      <c r="A9" t="s">
        <v>7</v>
      </c>
      <c r="B9">
        <v>2002</v>
      </c>
      <c r="C9" t="s">
        <v>11</v>
      </c>
      <c r="D9" t="s">
        <v>9</v>
      </c>
      <c r="E9" t="s">
        <v>10</v>
      </c>
      <c r="F9">
        <v>11.690320968628001</v>
      </c>
      <c r="G9">
        <v>7108376.8210926</v>
      </c>
      <c r="H9">
        <f t="shared" si="0"/>
        <v>1</v>
      </c>
      <c r="I9" s="3">
        <v>2004</v>
      </c>
      <c r="J9" s="1">
        <v>14.648348808289001</v>
      </c>
      <c r="K9" s="1">
        <v>18.814867019653001</v>
      </c>
      <c r="L9" s="1">
        <v>41.5221824646</v>
      </c>
      <c r="M9" s="1">
        <v>24.995132764180667</v>
      </c>
    </row>
    <row r="10" spans="1:13" x14ac:dyDescent="0.35">
      <c r="A10" t="s">
        <v>7</v>
      </c>
      <c r="B10">
        <v>2002</v>
      </c>
      <c r="C10" t="s">
        <v>12</v>
      </c>
      <c r="D10" t="s">
        <v>9</v>
      </c>
      <c r="E10" t="s">
        <v>10</v>
      </c>
      <c r="F10">
        <v>41.172920227051002</v>
      </c>
      <c r="G10">
        <v>4458968.3833136996</v>
      </c>
      <c r="H10">
        <f t="shared" si="0"/>
        <v>1</v>
      </c>
      <c r="I10" s="3">
        <v>2005</v>
      </c>
      <c r="J10" s="1">
        <v>16.100894927978999</v>
      </c>
      <c r="K10" s="1">
        <v>20.119525909423999</v>
      </c>
      <c r="L10" s="1">
        <v>41.697269439697003</v>
      </c>
      <c r="M10" s="1">
        <v>25.972563425700002</v>
      </c>
    </row>
    <row r="11" spans="1:13" x14ac:dyDescent="0.35">
      <c r="A11" t="s">
        <v>7</v>
      </c>
      <c r="B11">
        <v>2003</v>
      </c>
      <c r="C11" t="s">
        <v>8</v>
      </c>
      <c r="D11" t="s">
        <v>9</v>
      </c>
      <c r="E11" t="s">
        <v>10</v>
      </c>
      <c r="F11">
        <v>17.490867614746001</v>
      </c>
      <c r="G11">
        <v>12913973.341771999</v>
      </c>
      <c r="H11">
        <f t="shared" si="0"/>
        <v>1</v>
      </c>
      <c r="I11" s="3">
        <v>2006</v>
      </c>
      <c r="J11" s="1">
        <v>17.535797119141002</v>
      </c>
      <c r="K11" s="1">
        <v>21.405115127563</v>
      </c>
      <c r="L11" s="1">
        <v>41.872657775878999</v>
      </c>
      <c r="M11" s="1">
        <v>26.937856674194336</v>
      </c>
    </row>
    <row r="12" spans="1:13" x14ac:dyDescent="0.35">
      <c r="A12" t="s">
        <v>7</v>
      </c>
      <c r="B12">
        <v>2003</v>
      </c>
      <c r="C12" t="s">
        <v>11</v>
      </c>
      <c r="D12" t="s">
        <v>9</v>
      </c>
      <c r="E12" t="s">
        <v>10</v>
      </c>
      <c r="F12">
        <v>13.178156852721999</v>
      </c>
      <c r="G12">
        <v>8240154.4117767001</v>
      </c>
      <c r="H12">
        <f t="shared" si="0"/>
        <v>1</v>
      </c>
      <c r="I12" s="3">
        <v>2007</v>
      </c>
      <c r="J12" s="1">
        <v>18.953054428101002</v>
      </c>
      <c r="K12" s="1">
        <v>22.675092697143999</v>
      </c>
      <c r="L12" s="1">
        <v>42.048351287842003</v>
      </c>
      <c r="M12" s="1">
        <v>27.892166137695668</v>
      </c>
    </row>
    <row r="13" spans="1:13" x14ac:dyDescent="0.35">
      <c r="A13" t="s">
        <v>7</v>
      </c>
      <c r="B13">
        <v>2003</v>
      </c>
      <c r="C13" t="s">
        <v>12</v>
      </c>
      <c r="D13" t="s">
        <v>9</v>
      </c>
      <c r="E13" t="s">
        <v>10</v>
      </c>
      <c r="F13">
        <v>41.347400665282997</v>
      </c>
      <c r="G13">
        <v>4673819.6203961996</v>
      </c>
      <c r="H13">
        <f t="shared" si="0"/>
        <v>1</v>
      </c>
      <c r="I13" s="3">
        <v>2008</v>
      </c>
      <c r="J13" s="1">
        <v>20.352666854858001</v>
      </c>
      <c r="K13" s="1">
        <v>23.963680267333999</v>
      </c>
      <c r="L13" s="1">
        <v>42.224342346191001</v>
      </c>
      <c r="M13" s="1">
        <v>28.846896489460999</v>
      </c>
    </row>
    <row r="14" spans="1:13" x14ac:dyDescent="0.35">
      <c r="A14" t="s">
        <v>7</v>
      </c>
      <c r="B14">
        <v>2004</v>
      </c>
      <c r="C14" t="s">
        <v>8</v>
      </c>
      <c r="D14" t="s">
        <v>9</v>
      </c>
      <c r="E14" t="s">
        <v>10</v>
      </c>
      <c r="F14">
        <v>18.814867019653001</v>
      </c>
      <c r="G14">
        <v>14313825.141168</v>
      </c>
      <c r="H14">
        <f t="shared" si="0"/>
        <v>1</v>
      </c>
      <c r="I14" s="3">
        <v>2009</v>
      </c>
      <c r="J14" s="1">
        <v>21.734636306763001</v>
      </c>
      <c r="K14" s="1">
        <v>25.229257583618001</v>
      </c>
      <c r="L14" s="1">
        <v>42.40064239502</v>
      </c>
      <c r="M14" s="1">
        <v>29.788178761800335</v>
      </c>
    </row>
    <row r="15" spans="1:13" x14ac:dyDescent="0.35">
      <c r="A15" t="s">
        <v>7</v>
      </c>
      <c r="B15">
        <v>2004</v>
      </c>
      <c r="C15" t="s">
        <v>11</v>
      </c>
      <c r="D15" t="s">
        <v>9</v>
      </c>
      <c r="E15" t="s">
        <v>10</v>
      </c>
      <c r="F15">
        <v>14.648348808289001</v>
      </c>
      <c r="G15">
        <v>9416280.2917077001</v>
      </c>
      <c r="H15">
        <f t="shared" si="0"/>
        <v>1</v>
      </c>
      <c r="I15" s="3">
        <v>2010</v>
      </c>
      <c r="J15" s="1">
        <v>23.098958969116001</v>
      </c>
      <c r="K15" s="1">
        <v>26.472402572631999</v>
      </c>
      <c r="L15" s="1">
        <v>42.577239990233998</v>
      </c>
      <c r="M15" s="1">
        <v>30.716200510660666</v>
      </c>
    </row>
    <row r="16" spans="1:13" x14ac:dyDescent="0.35">
      <c r="A16" t="s">
        <v>7</v>
      </c>
      <c r="B16">
        <v>2004</v>
      </c>
      <c r="C16" t="s">
        <v>12</v>
      </c>
      <c r="D16" t="s">
        <v>9</v>
      </c>
      <c r="E16" t="s">
        <v>10</v>
      </c>
      <c r="F16">
        <v>41.5221824646</v>
      </c>
      <c r="G16">
        <v>4897545.5739177996</v>
      </c>
      <c r="H16">
        <f t="shared" si="0"/>
        <v>1</v>
      </c>
      <c r="I16" s="3">
        <v>2011</v>
      </c>
      <c r="J16" s="1">
        <v>24.445638656616001</v>
      </c>
      <c r="K16" s="1">
        <v>27.692651748656999</v>
      </c>
      <c r="L16" s="1">
        <v>42.754146575927997</v>
      </c>
      <c r="M16" s="1">
        <v>31.630812327067002</v>
      </c>
    </row>
    <row r="17" spans="1:13" x14ac:dyDescent="0.35">
      <c r="A17" t="s">
        <v>7</v>
      </c>
      <c r="B17">
        <v>2005</v>
      </c>
      <c r="C17" t="s">
        <v>8</v>
      </c>
      <c r="D17" t="s">
        <v>9</v>
      </c>
      <c r="E17" t="s">
        <v>10</v>
      </c>
      <c r="F17">
        <v>20.119525909423999</v>
      </c>
      <c r="G17">
        <v>15767163.43121</v>
      </c>
      <c r="H17">
        <f t="shared" si="0"/>
        <v>1</v>
      </c>
      <c r="I17" s="3">
        <v>2012</v>
      </c>
      <c r="J17" s="1">
        <v>25.774673461913999</v>
      </c>
      <c r="K17" s="1">
        <v>28.890325546265</v>
      </c>
      <c r="L17" s="1">
        <v>42.931350708007997</v>
      </c>
      <c r="M17" s="1">
        <v>32.532116572062328</v>
      </c>
    </row>
    <row r="18" spans="1:13" x14ac:dyDescent="0.35">
      <c r="A18" t="s">
        <v>7</v>
      </c>
      <c r="B18">
        <v>2005</v>
      </c>
      <c r="C18" t="s">
        <v>11</v>
      </c>
      <c r="D18" t="s">
        <v>9</v>
      </c>
      <c r="E18" t="s">
        <v>10</v>
      </c>
      <c r="F18">
        <v>16.100894927978999</v>
      </c>
      <c r="G18">
        <v>10636859.159215</v>
      </c>
      <c r="H18">
        <f t="shared" si="0"/>
        <v>1</v>
      </c>
      <c r="I18" s="3">
        <v>2013</v>
      </c>
      <c r="J18" s="1">
        <v>27.08606338501</v>
      </c>
      <c r="K18" s="1">
        <v>30.062297821045</v>
      </c>
      <c r="L18" s="1">
        <v>43.108860015868999</v>
      </c>
      <c r="M18" s="1">
        <v>33.419073740641331</v>
      </c>
    </row>
    <row r="19" spans="1:13" x14ac:dyDescent="0.35">
      <c r="A19" t="s">
        <v>7</v>
      </c>
      <c r="B19">
        <v>2005</v>
      </c>
      <c r="C19" t="s">
        <v>12</v>
      </c>
      <c r="D19" t="s">
        <v>9</v>
      </c>
      <c r="E19" t="s">
        <v>10</v>
      </c>
      <c r="F19">
        <v>41.697269439697003</v>
      </c>
      <c r="G19">
        <v>5130304.0212431997</v>
      </c>
      <c r="H19">
        <f t="shared" si="0"/>
        <v>1</v>
      </c>
      <c r="I19" s="3">
        <v>2014</v>
      </c>
      <c r="J19" s="1">
        <v>28.379808425903001</v>
      </c>
      <c r="K19" s="1">
        <v>31.211812973021999</v>
      </c>
      <c r="L19" s="1">
        <v>43.286670684813998</v>
      </c>
      <c r="M19" s="1">
        <v>34.292764027913002</v>
      </c>
    </row>
    <row r="20" spans="1:13" x14ac:dyDescent="0.35">
      <c r="A20" t="s">
        <v>7</v>
      </c>
      <c r="B20">
        <v>2006</v>
      </c>
      <c r="C20" t="s">
        <v>8</v>
      </c>
      <c r="D20" t="s">
        <v>9</v>
      </c>
      <c r="E20" t="s">
        <v>10</v>
      </c>
      <c r="F20">
        <v>21.405115127563</v>
      </c>
      <c r="G20">
        <v>17274674.946462002</v>
      </c>
      <c r="H20">
        <f t="shared" si="0"/>
        <v>1</v>
      </c>
      <c r="I20" s="3">
        <v>2015</v>
      </c>
      <c r="J20" s="1">
        <v>29.655910491943001</v>
      </c>
      <c r="K20" s="1">
        <v>32.33869934082</v>
      </c>
      <c r="L20" s="1">
        <v>43.464786529541001</v>
      </c>
      <c r="M20" s="1">
        <v>35.153132120767999</v>
      </c>
    </row>
    <row r="21" spans="1:13" x14ac:dyDescent="0.35">
      <c r="A21" t="s">
        <v>7</v>
      </c>
      <c r="B21">
        <v>2006</v>
      </c>
      <c r="C21" t="s">
        <v>11</v>
      </c>
      <c r="D21" t="s">
        <v>9</v>
      </c>
      <c r="E21" t="s">
        <v>10</v>
      </c>
      <c r="F21">
        <v>17.535797119141002</v>
      </c>
      <c r="G21">
        <v>11901973.378210001</v>
      </c>
      <c r="H21">
        <f t="shared" si="0"/>
        <v>1</v>
      </c>
      <c r="I21" s="3">
        <v>2016</v>
      </c>
      <c r="J21" s="1">
        <v>30.914365768433001</v>
      </c>
      <c r="K21" s="1">
        <v>33.443077087402003</v>
      </c>
      <c r="L21" s="1">
        <v>43.643203735352003</v>
      </c>
      <c r="M21" s="1">
        <v>36.000215530395671</v>
      </c>
    </row>
    <row r="22" spans="1:13" x14ac:dyDescent="0.35">
      <c r="A22" t="s">
        <v>7</v>
      </c>
      <c r="B22">
        <v>2006</v>
      </c>
      <c r="C22" t="s">
        <v>12</v>
      </c>
      <c r="D22" t="s">
        <v>9</v>
      </c>
      <c r="E22" t="s">
        <v>10</v>
      </c>
      <c r="F22">
        <v>41.872657775878999</v>
      </c>
      <c r="G22">
        <v>5372700.8180988003</v>
      </c>
      <c r="H22">
        <f t="shared" si="0"/>
        <v>1</v>
      </c>
      <c r="I22" s="3">
        <v>2017</v>
      </c>
      <c r="J22" s="1">
        <v>32.155178070067997</v>
      </c>
      <c r="K22" s="1">
        <v>34.5246925354</v>
      </c>
      <c r="L22" s="1">
        <v>43.821922302246001</v>
      </c>
      <c r="M22" s="1">
        <v>36.833930969237997</v>
      </c>
    </row>
    <row r="23" spans="1:13" x14ac:dyDescent="0.35">
      <c r="A23" t="s">
        <v>7</v>
      </c>
      <c r="B23">
        <v>2007</v>
      </c>
      <c r="C23" t="s">
        <v>8</v>
      </c>
      <c r="D23" t="s">
        <v>9</v>
      </c>
      <c r="E23" t="s">
        <v>10</v>
      </c>
      <c r="F23">
        <v>22.675092697143999</v>
      </c>
      <c r="G23">
        <v>18843731.489057999</v>
      </c>
      <c r="H23">
        <f t="shared" si="0"/>
        <v>1</v>
      </c>
      <c r="I23" s="3">
        <v>2018</v>
      </c>
      <c r="J23" s="1">
        <v>33.378345489502003</v>
      </c>
      <c r="K23" s="1">
        <v>35.583915710448998</v>
      </c>
      <c r="L23" s="1">
        <v>44.000946044922003</v>
      </c>
      <c r="M23" s="1">
        <v>37.654402414957666</v>
      </c>
    </row>
    <row r="24" spans="1:13" x14ac:dyDescent="0.35">
      <c r="A24" t="s">
        <v>7</v>
      </c>
      <c r="B24">
        <v>2007</v>
      </c>
      <c r="C24" t="s">
        <v>11</v>
      </c>
      <c r="D24" t="s">
        <v>9</v>
      </c>
      <c r="E24" t="s">
        <v>10</v>
      </c>
      <c r="F24">
        <v>18.953054428101002</v>
      </c>
      <c r="G24">
        <v>13212231.859114001</v>
      </c>
      <c r="H24">
        <f t="shared" si="0"/>
        <v>1</v>
      </c>
      <c r="I24" s="3">
        <v>2019</v>
      </c>
      <c r="J24" s="1">
        <v>34.583866119385</v>
      </c>
      <c r="K24" s="1">
        <v>36.620704650878999</v>
      </c>
      <c r="L24" s="1">
        <v>44.180271148682003</v>
      </c>
      <c r="M24" s="1">
        <v>38.461613972982001</v>
      </c>
    </row>
    <row r="25" spans="1:13" x14ac:dyDescent="0.35">
      <c r="A25" t="s">
        <v>7</v>
      </c>
      <c r="B25">
        <v>2007</v>
      </c>
      <c r="C25" t="s">
        <v>12</v>
      </c>
      <c r="D25" t="s">
        <v>9</v>
      </c>
      <c r="E25" t="s">
        <v>10</v>
      </c>
      <c r="F25">
        <v>42.048351287842003</v>
      </c>
      <c r="G25">
        <v>5631499.9468820998</v>
      </c>
      <c r="H25">
        <f t="shared" si="0"/>
        <v>1</v>
      </c>
      <c r="I25" s="3">
        <v>2020</v>
      </c>
      <c r="J25" s="1">
        <v>35.771743774413999</v>
      </c>
      <c r="K25" s="1">
        <v>37.634944915771001</v>
      </c>
      <c r="L25" s="1">
        <v>44.359901428222997</v>
      </c>
      <c r="M25" s="1">
        <v>39.255530039469335</v>
      </c>
    </row>
    <row r="26" spans="1:13" x14ac:dyDescent="0.35">
      <c r="A26" t="s">
        <v>7</v>
      </c>
      <c r="B26">
        <v>2008</v>
      </c>
      <c r="C26" t="s">
        <v>8</v>
      </c>
      <c r="D26" t="s">
        <v>9</v>
      </c>
      <c r="E26" t="s">
        <v>10</v>
      </c>
      <c r="F26">
        <v>23.963680267333999</v>
      </c>
      <c r="G26">
        <v>20499411.088470001</v>
      </c>
      <c r="H26">
        <f t="shared" si="0"/>
        <v>1</v>
      </c>
      <c r="I26" s="3">
        <v>2021</v>
      </c>
      <c r="J26" s="1">
        <v>36.94197845459</v>
      </c>
      <c r="K26" s="1">
        <v>38.626728057861001</v>
      </c>
      <c r="L26" s="1">
        <v>44.539833068847997</v>
      </c>
      <c r="M26" s="1">
        <v>40.036179860433002</v>
      </c>
    </row>
    <row r="27" spans="1:13" x14ac:dyDescent="0.35">
      <c r="A27" t="s">
        <v>7</v>
      </c>
      <c r="B27">
        <v>2008</v>
      </c>
      <c r="C27" t="s">
        <v>11</v>
      </c>
      <c r="D27" t="s">
        <v>9</v>
      </c>
      <c r="E27" t="s">
        <v>10</v>
      </c>
      <c r="F27">
        <v>20.352666854858001</v>
      </c>
      <c r="G27">
        <v>14535957.706621001</v>
      </c>
      <c r="H27">
        <f t="shared" si="0"/>
        <v>1</v>
      </c>
      <c r="I27" s="3">
        <v>2022</v>
      </c>
      <c r="J27" s="1">
        <v>38.331371307372997</v>
      </c>
      <c r="K27" s="1">
        <v>39.779113769531001</v>
      </c>
      <c r="L27" s="1">
        <v>44.720066070557003</v>
      </c>
      <c r="M27" s="1">
        <v>40.943517049153662</v>
      </c>
    </row>
    <row r="28" spans="1:13" x14ac:dyDescent="0.35">
      <c r="A28" t="s">
        <v>7</v>
      </c>
      <c r="B28">
        <v>2008</v>
      </c>
      <c r="C28" t="s">
        <v>12</v>
      </c>
      <c r="D28" t="s">
        <v>9</v>
      </c>
      <c r="E28" t="s">
        <v>10</v>
      </c>
      <c r="F28">
        <v>42.224342346191001</v>
      </c>
      <c r="G28">
        <v>5963453.2305993</v>
      </c>
      <c r="H28">
        <f t="shared" si="0"/>
        <v>1</v>
      </c>
      <c r="I28" s="3">
        <v>2023</v>
      </c>
      <c r="J28" s="1">
        <v>39.720355987548999</v>
      </c>
      <c r="K28" s="1">
        <v>40.919948577881001</v>
      </c>
      <c r="L28" s="1">
        <v>44.900604248047003</v>
      </c>
      <c r="M28" s="1">
        <v>41.846969604492337</v>
      </c>
    </row>
    <row r="29" spans="1:13" x14ac:dyDescent="0.35">
      <c r="A29" t="s">
        <v>7</v>
      </c>
      <c r="B29">
        <v>2009</v>
      </c>
      <c r="C29" t="s">
        <v>8</v>
      </c>
      <c r="D29" t="s">
        <v>9</v>
      </c>
      <c r="E29" t="s">
        <v>10</v>
      </c>
      <c r="F29">
        <v>25.229257583618001</v>
      </c>
      <c r="G29">
        <v>22203673.179692999</v>
      </c>
      <c r="H29">
        <f t="shared" si="0"/>
        <v>1</v>
      </c>
      <c r="I29" s="3">
        <v>2024</v>
      </c>
      <c r="J29" s="1">
        <v>41.108932495117003</v>
      </c>
      <c r="K29" s="1">
        <v>42.04887008667</v>
      </c>
      <c r="L29" s="1">
        <v>45.081443786621001</v>
      </c>
      <c r="M29" s="1">
        <v>42.746415456135999</v>
      </c>
    </row>
    <row r="30" spans="1:13" x14ac:dyDescent="0.35">
      <c r="A30" t="s">
        <v>7</v>
      </c>
      <c r="B30">
        <v>2009</v>
      </c>
      <c r="C30" t="s">
        <v>11</v>
      </c>
      <c r="D30" t="s">
        <v>9</v>
      </c>
      <c r="E30" t="s">
        <v>10</v>
      </c>
      <c r="F30">
        <v>21.734636306763001</v>
      </c>
      <c r="G30">
        <v>15893571.035742</v>
      </c>
      <c r="H30">
        <f t="shared" si="0"/>
        <v>1</v>
      </c>
      <c r="I30" s="3" t="s">
        <v>17</v>
      </c>
      <c r="J30" s="1">
        <v>25.375504951477097</v>
      </c>
      <c r="K30" s="1">
        <v>28.395323600768918</v>
      </c>
      <c r="L30" s="1">
        <v>42.93922485351569</v>
      </c>
      <c r="M30" s="1">
        <v>32.236684468587235</v>
      </c>
    </row>
    <row r="31" spans="1:13" x14ac:dyDescent="0.35">
      <c r="A31" t="s">
        <v>7</v>
      </c>
      <c r="B31">
        <v>2009</v>
      </c>
      <c r="C31" t="s">
        <v>12</v>
      </c>
      <c r="D31" t="s">
        <v>9</v>
      </c>
      <c r="E31" t="s">
        <v>10</v>
      </c>
      <c r="F31">
        <v>42.40064239502</v>
      </c>
      <c r="G31">
        <v>6310102.1858114004</v>
      </c>
      <c r="H31">
        <f t="shared" si="0"/>
        <v>1</v>
      </c>
    </row>
    <row r="32" spans="1:13" x14ac:dyDescent="0.35">
      <c r="A32" t="s">
        <v>7</v>
      </c>
      <c r="B32">
        <v>2010</v>
      </c>
      <c r="C32" t="s">
        <v>8</v>
      </c>
      <c r="D32" t="s">
        <v>9</v>
      </c>
      <c r="E32" t="s">
        <v>10</v>
      </c>
      <c r="F32">
        <v>26.472402572631999</v>
      </c>
      <c r="G32">
        <v>23967719.909359001</v>
      </c>
      <c r="H32">
        <f t="shared" si="0"/>
        <v>1</v>
      </c>
    </row>
    <row r="33" spans="1:8" x14ac:dyDescent="0.35">
      <c r="A33" t="s">
        <v>7</v>
      </c>
      <c r="B33">
        <v>2010</v>
      </c>
      <c r="C33" t="s">
        <v>11</v>
      </c>
      <c r="D33" t="s">
        <v>9</v>
      </c>
      <c r="E33" t="s">
        <v>10</v>
      </c>
      <c r="F33">
        <v>23.098958969116001</v>
      </c>
      <c r="G33">
        <v>17291453.815519001</v>
      </c>
      <c r="H33">
        <f t="shared" si="0"/>
        <v>1</v>
      </c>
    </row>
    <row r="34" spans="1:8" x14ac:dyDescent="0.35">
      <c r="A34" t="s">
        <v>7</v>
      </c>
      <c r="B34">
        <v>2010</v>
      </c>
      <c r="C34" t="s">
        <v>12</v>
      </c>
      <c r="D34" t="s">
        <v>9</v>
      </c>
      <c r="E34" t="s">
        <v>10</v>
      </c>
      <c r="F34">
        <v>42.577239990233998</v>
      </c>
      <c r="G34">
        <v>6676266.6373947002</v>
      </c>
      <c r="H34">
        <f t="shared" si="0"/>
        <v>1</v>
      </c>
    </row>
    <row r="35" spans="1:8" x14ac:dyDescent="0.35">
      <c r="A35" t="s">
        <v>7</v>
      </c>
      <c r="B35">
        <v>2011</v>
      </c>
      <c r="C35" t="s">
        <v>8</v>
      </c>
      <c r="D35" t="s">
        <v>9</v>
      </c>
      <c r="E35" t="s">
        <v>10</v>
      </c>
      <c r="F35">
        <v>27.692651748656999</v>
      </c>
      <c r="G35">
        <v>25795696.796078999</v>
      </c>
      <c r="H35">
        <f t="shared" si="0"/>
        <v>1</v>
      </c>
    </row>
    <row r="36" spans="1:8" x14ac:dyDescent="0.35">
      <c r="A36" t="s">
        <v>7</v>
      </c>
      <c r="B36">
        <v>2011</v>
      </c>
      <c r="C36" t="s">
        <v>11</v>
      </c>
      <c r="D36" t="s">
        <v>9</v>
      </c>
      <c r="E36" t="s">
        <v>10</v>
      </c>
      <c r="F36">
        <v>24.445638656616001</v>
      </c>
      <c r="G36">
        <v>18732649.878240999</v>
      </c>
      <c r="H36">
        <f t="shared" si="0"/>
        <v>1</v>
      </c>
    </row>
    <row r="37" spans="1:8" x14ac:dyDescent="0.35">
      <c r="A37" t="s">
        <v>7</v>
      </c>
      <c r="B37">
        <v>2011</v>
      </c>
      <c r="C37" t="s">
        <v>12</v>
      </c>
      <c r="D37" t="s">
        <v>9</v>
      </c>
      <c r="E37" t="s">
        <v>10</v>
      </c>
      <c r="F37">
        <v>42.754146575927997</v>
      </c>
      <c r="G37">
        <v>7063047.8629387002</v>
      </c>
      <c r="H37">
        <f t="shared" si="0"/>
        <v>1</v>
      </c>
    </row>
    <row r="38" spans="1:8" x14ac:dyDescent="0.35">
      <c r="A38" t="s">
        <v>7</v>
      </c>
      <c r="B38">
        <v>2012</v>
      </c>
      <c r="C38" t="s">
        <v>8</v>
      </c>
      <c r="D38" t="s">
        <v>9</v>
      </c>
      <c r="E38" t="s">
        <v>10</v>
      </c>
      <c r="F38">
        <v>28.890325546265</v>
      </c>
      <c r="G38">
        <v>27676575.655607998</v>
      </c>
      <c r="H38">
        <f t="shared" si="0"/>
        <v>1</v>
      </c>
    </row>
    <row r="39" spans="1:8" x14ac:dyDescent="0.35">
      <c r="A39" t="s">
        <v>7</v>
      </c>
      <c r="B39">
        <v>2012</v>
      </c>
      <c r="C39" t="s">
        <v>11</v>
      </c>
      <c r="D39" t="s">
        <v>9</v>
      </c>
      <c r="E39" t="s">
        <v>10</v>
      </c>
      <c r="F39">
        <v>25.774673461913999</v>
      </c>
      <c r="G39">
        <v>20207785.256549999</v>
      </c>
      <c r="H39">
        <f t="shared" si="0"/>
        <v>1</v>
      </c>
    </row>
    <row r="40" spans="1:8" x14ac:dyDescent="0.35">
      <c r="A40" t="s">
        <v>7</v>
      </c>
      <c r="B40">
        <v>2012</v>
      </c>
      <c r="C40" t="s">
        <v>12</v>
      </c>
      <c r="D40" t="s">
        <v>9</v>
      </c>
      <c r="E40" t="s">
        <v>10</v>
      </c>
      <c r="F40">
        <v>42.931350708007997</v>
      </c>
      <c r="G40">
        <v>7468791.1242284998</v>
      </c>
      <c r="H40">
        <f t="shared" si="0"/>
        <v>1</v>
      </c>
    </row>
    <row r="41" spans="1:8" x14ac:dyDescent="0.35">
      <c r="A41" t="s">
        <v>7</v>
      </c>
      <c r="B41">
        <v>2013</v>
      </c>
      <c r="C41" t="s">
        <v>8</v>
      </c>
      <c r="D41" t="s">
        <v>9</v>
      </c>
      <c r="E41" t="s">
        <v>10</v>
      </c>
      <c r="F41">
        <v>30.062297821045</v>
      </c>
      <c r="G41">
        <v>29592950.496936999</v>
      </c>
      <c r="H41">
        <f t="shared" si="0"/>
        <v>1</v>
      </c>
    </row>
    <row r="42" spans="1:8" x14ac:dyDescent="0.35">
      <c r="A42" t="s">
        <v>7</v>
      </c>
      <c r="B42">
        <v>2013</v>
      </c>
      <c r="C42" t="s">
        <v>11</v>
      </c>
      <c r="D42" t="s">
        <v>9</v>
      </c>
      <c r="E42" t="s">
        <v>10</v>
      </c>
      <c r="F42">
        <v>27.08606338501</v>
      </c>
      <c r="G42">
        <v>21710496.072184</v>
      </c>
      <c r="H42">
        <f t="shared" si="0"/>
        <v>1</v>
      </c>
    </row>
    <row r="43" spans="1:8" x14ac:dyDescent="0.35">
      <c r="A43" t="s">
        <v>7</v>
      </c>
      <c r="B43">
        <v>2013</v>
      </c>
      <c r="C43" t="s">
        <v>12</v>
      </c>
      <c r="D43" t="s">
        <v>9</v>
      </c>
      <c r="E43" t="s">
        <v>10</v>
      </c>
      <c r="F43">
        <v>43.108860015868999</v>
      </c>
      <c r="G43">
        <v>7882454.1917244997</v>
      </c>
      <c r="H43">
        <f t="shared" si="0"/>
        <v>1</v>
      </c>
    </row>
    <row r="44" spans="1:8" x14ac:dyDescent="0.35">
      <c r="A44" t="s">
        <v>7</v>
      </c>
      <c r="B44">
        <v>2014</v>
      </c>
      <c r="C44" t="s">
        <v>8</v>
      </c>
      <c r="D44" t="s">
        <v>9</v>
      </c>
      <c r="E44" t="s">
        <v>10</v>
      </c>
      <c r="F44">
        <v>31.211812973021999</v>
      </c>
      <c r="G44">
        <v>31560015.079730999</v>
      </c>
      <c r="H44">
        <f t="shared" si="0"/>
        <v>1</v>
      </c>
    </row>
    <row r="45" spans="1:8" x14ac:dyDescent="0.35">
      <c r="A45" t="s">
        <v>7</v>
      </c>
      <c r="B45">
        <v>2014</v>
      </c>
      <c r="C45" t="s">
        <v>11</v>
      </c>
      <c r="D45" t="s">
        <v>9</v>
      </c>
      <c r="E45" t="s">
        <v>10</v>
      </c>
      <c r="F45">
        <v>28.379808425903001</v>
      </c>
      <c r="G45">
        <v>23244670.533163998</v>
      </c>
      <c r="H45">
        <f t="shared" si="0"/>
        <v>1</v>
      </c>
    </row>
    <row r="46" spans="1:8" x14ac:dyDescent="0.35">
      <c r="A46" t="s">
        <v>7</v>
      </c>
      <c r="B46">
        <v>2014</v>
      </c>
      <c r="C46" t="s">
        <v>12</v>
      </c>
      <c r="D46" t="s">
        <v>9</v>
      </c>
      <c r="E46" t="s">
        <v>10</v>
      </c>
      <c r="F46">
        <v>43.286670684813998</v>
      </c>
      <c r="G46">
        <v>8315345.1980173001</v>
      </c>
      <c r="H46">
        <f t="shared" si="0"/>
        <v>1</v>
      </c>
    </row>
    <row r="47" spans="1:8" x14ac:dyDescent="0.35">
      <c r="A47" t="s">
        <v>7</v>
      </c>
      <c r="B47">
        <v>2015</v>
      </c>
      <c r="C47" t="s">
        <v>8</v>
      </c>
      <c r="D47" t="s">
        <v>9</v>
      </c>
      <c r="E47" t="s">
        <v>10</v>
      </c>
      <c r="F47">
        <v>32.33869934082</v>
      </c>
      <c r="G47">
        <v>33589280.501574002</v>
      </c>
      <c r="H47">
        <f t="shared" si="0"/>
        <v>1</v>
      </c>
    </row>
    <row r="48" spans="1:8" x14ac:dyDescent="0.35">
      <c r="A48" t="s">
        <v>7</v>
      </c>
      <c r="B48">
        <v>2015</v>
      </c>
      <c r="C48" t="s">
        <v>11</v>
      </c>
      <c r="D48" t="s">
        <v>9</v>
      </c>
      <c r="E48" t="s">
        <v>10</v>
      </c>
      <c r="F48">
        <v>29.655910491943001</v>
      </c>
      <c r="G48">
        <v>24818388.550567999</v>
      </c>
      <c r="H48">
        <f t="shared" si="0"/>
        <v>1</v>
      </c>
    </row>
    <row r="49" spans="1:8" x14ac:dyDescent="0.35">
      <c r="A49" t="s">
        <v>7</v>
      </c>
      <c r="B49">
        <v>2015</v>
      </c>
      <c r="C49" t="s">
        <v>12</v>
      </c>
      <c r="D49" t="s">
        <v>9</v>
      </c>
      <c r="E49" t="s">
        <v>10</v>
      </c>
      <c r="F49">
        <v>43.464786529541001</v>
      </c>
      <c r="G49">
        <v>8770892.2760428991</v>
      </c>
      <c r="H49">
        <f t="shared" si="0"/>
        <v>1</v>
      </c>
    </row>
    <row r="50" spans="1:8" x14ac:dyDescent="0.35">
      <c r="A50" t="s">
        <v>7</v>
      </c>
      <c r="B50">
        <v>2016</v>
      </c>
      <c r="C50" t="s">
        <v>8</v>
      </c>
      <c r="D50" t="s">
        <v>9</v>
      </c>
      <c r="E50" t="s">
        <v>10</v>
      </c>
      <c r="F50">
        <v>33.443077087402003</v>
      </c>
      <c r="G50">
        <v>35689837.183918998</v>
      </c>
      <c r="H50">
        <f t="shared" si="0"/>
        <v>1</v>
      </c>
    </row>
    <row r="51" spans="1:8" x14ac:dyDescent="0.35">
      <c r="A51" t="s">
        <v>7</v>
      </c>
      <c r="B51">
        <v>2016</v>
      </c>
      <c r="C51" t="s">
        <v>11</v>
      </c>
      <c r="D51" t="s">
        <v>9</v>
      </c>
      <c r="E51" t="s">
        <v>10</v>
      </c>
      <c r="F51">
        <v>30.914365768433001</v>
      </c>
      <c r="G51">
        <v>26437201.402042001</v>
      </c>
      <c r="H51">
        <f t="shared" si="0"/>
        <v>1</v>
      </c>
    </row>
    <row r="52" spans="1:8" x14ac:dyDescent="0.35">
      <c r="A52" t="s">
        <v>7</v>
      </c>
      <c r="B52">
        <v>2016</v>
      </c>
      <c r="C52" t="s">
        <v>12</v>
      </c>
      <c r="D52" t="s">
        <v>9</v>
      </c>
      <c r="E52" t="s">
        <v>10</v>
      </c>
      <c r="F52">
        <v>43.643203735352003</v>
      </c>
      <c r="G52">
        <v>9252634.1440781001</v>
      </c>
      <c r="H52">
        <f t="shared" si="0"/>
        <v>1</v>
      </c>
    </row>
    <row r="53" spans="1:8" x14ac:dyDescent="0.35">
      <c r="A53" t="s">
        <v>7</v>
      </c>
      <c r="B53">
        <v>2017</v>
      </c>
      <c r="C53" t="s">
        <v>8</v>
      </c>
      <c r="D53" t="s">
        <v>9</v>
      </c>
      <c r="E53" t="s">
        <v>10</v>
      </c>
      <c r="F53">
        <v>34.5246925354</v>
      </c>
      <c r="G53">
        <v>37862015.379643001</v>
      </c>
      <c r="H53">
        <f t="shared" si="0"/>
        <v>1</v>
      </c>
    </row>
    <row r="54" spans="1:8" x14ac:dyDescent="0.35">
      <c r="A54" t="s">
        <v>7</v>
      </c>
      <c r="B54">
        <v>2017</v>
      </c>
      <c r="C54" t="s">
        <v>11</v>
      </c>
      <c r="D54" t="s">
        <v>9</v>
      </c>
      <c r="E54" t="s">
        <v>10</v>
      </c>
      <c r="F54">
        <v>32.155178070067997</v>
      </c>
      <c r="G54">
        <v>28101444.225958999</v>
      </c>
      <c r="H54">
        <f t="shared" si="0"/>
        <v>1</v>
      </c>
    </row>
    <row r="55" spans="1:8" x14ac:dyDescent="0.35">
      <c r="A55" t="s">
        <v>7</v>
      </c>
      <c r="B55">
        <v>2017</v>
      </c>
      <c r="C55" t="s">
        <v>12</v>
      </c>
      <c r="D55" t="s">
        <v>9</v>
      </c>
      <c r="E55" t="s">
        <v>10</v>
      </c>
      <c r="F55">
        <v>43.821922302246001</v>
      </c>
      <c r="G55">
        <v>9760571.5678157005</v>
      </c>
      <c r="H55">
        <f t="shared" si="0"/>
        <v>1</v>
      </c>
    </row>
    <row r="56" spans="1:8" x14ac:dyDescent="0.35">
      <c r="A56" t="s">
        <v>7</v>
      </c>
      <c r="B56">
        <v>2018</v>
      </c>
      <c r="C56" t="s">
        <v>8</v>
      </c>
      <c r="D56" t="s">
        <v>9</v>
      </c>
      <c r="E56" t="s">
        <v>10</v>
      </c>
      <c r="F56">
        <v>35.583915710448998</v>
      </c>
      <c r="G56">
        <v>40090316.883571997</v>
      </c>
      <c r="H56">
        <f t="shared" si="0"/>
        <v>1</v>
      </c>
    </row>
    <row r="57" spans="1:8" x14ac:dyDescent="0.35">
      <c r="A57" t="s">
        <v>7</v>
      </c>
      <c r="B57">
        <v>2018</v>
      </c>
      <c r="C57" t="s">
        <v>11</v>
      </c>
      <c r="D57" t="s">
        <v>9</v>
      </c>
      <c r="E57" t="s">
        <v>10</v>
      </c>
      <c r="F57">
        <v>33.378345489502003</v>
      </c>
      <c r="G57">
        <v>29797415.115217999</v>
      </c>
      <c r="H57">
        <f t="shared" si="0"/>
        <v>1</v>
      </c>
    </row>
    <row r="58" spans="1:8" x14ac:dyDescent="0.35">
      <c r="A58" t="s">
        <v>7</v>
      </c>
      <c r="B58">
        <v>2018</v>
      </c>
      <c r="C58" t="s">
        <v>12</v>
      </c>
      <c r="D58" t="s">
        <v>9</v>
      </c>
      <c r="E58" t="s">
        <v>10</v>
      </c>
      <c r="F58">
        <v>44.000946044922003</v>
      </c>
      <c r="G58">
        <v>10292902.823161</v>
      </c>
      <c r="H58">
        <f t="shared" si="0"/>
        <v>1</v>
      </c>
    </row>
    <row r="59" spans="1:8" x14ac:dyDescent="0.35">
      <c r="A59" t="s">
        <v>7</v>
      </c>
      <c r="B59">
        <v>2019</v>
      </c>
      <c r="C59" t="s">
        <v>8</v>
      </c>
      <c r="D59" t="s">
        <v>9</v>
      </c>
      <c r="E59" t="s">
        <v>10</v>
      </c>
      <c r="F59">
        <v>36.620704650878999</v>
      </c>
      <c r="G59">
        <v>42383845.199087001</v>
      </c>
      <c r="H59">
        <f t="shared" si="0"/>
        <v>1</v>
      </c>
    </row>
    <row r="60" spans="1:8" x14ac:dyDescent="0.35">
      <c r="A60" t="s">
        <v>7</v>
      </c>
      <c r="B60">
        <v>2019</v>
      </c>
      <c r="C60" t="s">
        <v>11</v>
      </c>
      <c r="D60" t="s">
        <v>9</v>
      </c>
      <c r="E60" t="s">
        <v>10</v>
      </c>
      <c r="F60">
        <v>34.583866119385</v>
      </c>
      <c r="G60">
        <v>31530846.685713999</v>
      </c>
      <c r="H60">
        <f t="shared" si="0"/>
        <v>1</v>
      </c>
    </row>
    <row r="61" spans="1:8" x14ac:dyDescent="0.35">
      <c r="A61" t="s">
        <v>7</v>
      </c>
      <c r="B61">
        <v>2019</v>
      </c>
      <c r="C61" t="s">
        <v>12</v>
      </c>
      <c r="D61" t="s">
        <v>9</v>
      </c>
      <c r="E61" t="s">
        <v>10</v>
      </c>
      <c r="F61">
        <v>44.180271148682003</v>
      </c>
      <c r="G61">
        <v>10852997.592773</v>
      </c>
      <c r="H61">
        <f t="shared" si="0"/>
        <v>1</v>
      </c>
    </row>
    <row r="62" spans="1:8" x14ac:dyDescent="0.35">
      <c r="A62" t="s">
        <v>7</v>
      </c>
      <c r="B62">
        <v>2020</v>
      </c>
      <c r="C62" t="s">
        <v>8</v>
      </c>
      <c r="D62" t="s">
        <v>9</v>
      </c>
      <c r="E62" t="s">
        <v>10</v>
      </c>
      <c r="F62">
        <v>37.634944915771001</v>
      </c>
      <c r="G62">
        <v>44754599.975968003</v>
      </c>
      <c r="H62">
        <f t="shared" si="0"/>
        <v>1</v>
      </c>
    </row>
    <row r="63" spans="1:8" x14ac:dyDescent="0.35">
      <c r="A63" t="s">
        <v>7</v>
      </c>
      <c r="B63">
        <v>2020</v>
      </c>
      <c r="C63" t="s">
        <v>11</v>
      </c>
      <c r="D63" t="s">
        <v>9</v>
      </c>
      <c r="E63" t="s">
        <v>10</v>
      </c>
      <c r="F63">
        <v>35.771743774413999</v>
      </c>
      <c r="G63">
        <v>33310104.072229002</v>
      </c>
      <c r="H63">
        <f t="shared" si="0"/>
        <v>1</v>
      </c>
    </row>
    <row r="64" spans="1:8" x14ac:dyDescent="0.35">
      <c r="A64" t="s">
        <v>7</v>
      </c>
      <c r="B64">
        <v>2020</v>
      </c>
      <c r="C64" t="s">
        <v>12</v>
      </c>
      <c r="D64" t="s">
        <v>9</v>
      </c>
      <c r="E64" t="s">
        <v>10</v>
      </c>
      <c r="F64">
        <v>44.359901428222997</v>
      </c>
      <c r="G64">
        <v>11444494.366082</v>
      </c>
      <c r="H64">
        <f t="shared" si="0"/>
        <v>1</v>
      </c>
    </row>
    <row r="65" spans="1:8" x14ac:dyDescent="0.35">
      <c r="A65" t="s">
        <v>7</v>
      </c>
      <c r="B65">
        <v>2021</v>
      </c>
      <c r="C65" t="s">
        <v>8</v>
      </c>
      <c r="D65" t="s">
        <v>9</v>
      </c>
      <c r="E65" t="s">
        <v>10</v>
      </c>
      <c r="F65">
        <v>38.626728057861001</v>
      </c>
      <c r="G65">
        <v>47178140.240471996</v>
      </c>
      <c r="H65">
        <f t="shared" si="0"/>
        <v>1</v>
      </c>
    </row>
    <row r="66" spans="1:8" x14ac:dyDescent="0.35">
      <c r="A66" t="s">
        <v>7</v>
      </c>
      <c r="B66">
        <v>2021</v>
      </c>
      <c r="C66" t="s">
        <v>11</v>
      </c>
      <c r="D66" t="s">
        <v>9</v>
      </c>
      <c r="E66" t="s">
        <v>10</v>
      </c>
      <c r="F66">
        <v>36.94197845459</v>
      </c>
      <c r="G66">
        <v>35115410.405805998</v>
      </c>
      <c r="H66">
        <f t="shared" si="0"/>
        <v>1</v>
      </c>
    </row>
    <row r="67" spans="1:8" x14ac:dyDescent="0.35">
      <c r="A67" t="s">
        <v>7</v>
      </c>
      <c r="B67">
        <v>2021</v>
      </c>
      <c r="C67" t="s">
        <v>12</v>
      </c>
      <c r="D67" t="s">
        <v>9</v>
      </c>
      <c r="E67" t="s">
        <v>10</v>
      </c>
      <c r="F67">
        <v>44.539833068847997</v>
      </c>
      <c r="G67">
        <v>12062728.334815999</v>
      </c>
      <c r="H67">
        <f t="shared" ref="H67:H76" si="1">COUNTIFS(B:B,B67,C:C,C67)</f>
        <v>1</v>
      </c>
    </row>
    <row r="68" spans="1:8" x14ac:dyDescent="0.35">
      <c r="A68" t="s">
        <v>7</v>
      </c>
      <c r="B68">
        <v>2022</v>
      </c>
      <c r="C68" t="s">
        <v>8</v>
      </c>
      <c r="D68" t="s">
        <v>9</v>
      </c>
      <c r="E68" t="s">
        <v>10</v>
      </c>
      <c r="F68">
        <v>39.779113769531001</v>
      </c>
      <c r="G68">
        <v>49876758.174846001</v>
      </c>
      <c r="H68">
        <f t="shared" si="1"/>
        <v>1</v>
      </c>
    </row>
    <row r="69" spans="1:8" x14ac:dyDescent="0.35">
      <c r="A69" t="s">
        <v>7</v>
      </c>
      <c r="B69">
        <v>2022</v>
      </c>
      <c r="C69" t="s">
        <v>11</v>
      </c>
      <c r="D69" t="s">
        <v>9</v>
      </c>
      <c r="E69" t="s">
        <v>10</v>
      </c>
      <c r="F69">
        <v>38.331371307372997</v>
      </c>
      <c r="G69">
        <v>37170295.671414003</v>
      </c>
      <c r="H69">
        <f t="shared" si="1"/>
        <v>1</v>
      </c>
    </row>
    <row r="70" spans="1:8" x14ac:dyDescent="0.35">
      <c r="A70" t="s">
        <v>7</v>
      </c>
      <c r="B70">
        <v>2022</v>
      </c>
      <c r="C70" t="s">
        <v>12</v>
      </c>
      <c r="D70" t="s">
        <v>9</v>
      </c>
      <c r="E70" t="s">
        <v>10</v>
      </c>
      <c r="F70">
        <v>44.720066070557003</v>
      </c>
      <c r="G70">
        <v>12706461.737647999</v>
      </c>
      <c r="H70">
        <f t="shared" si="1"/>
        <v>1</v>
      </c>
    </row>
    <row r="71" spans="1:8" x14ac:dyDescent="0.35">
      <c r="A71" t="s">
        <v>7</v>
      </c>
      <c r="B71">
        <v>2023</v>
      </c>
      <c r="C71" t="s">
        <v>8</v>
      </c>
      <c r="D71" t="s">
        <v>9</v>
      </c>
      <c r="E71" t="s">
        <v>10</v>
      </c>
      <c r="F71">
        <v>40.919948577881001</v>
      </c>
      <c r="G71">
        <v>52660574.190404996</v>
      </c>
      <c r="H71">
        <f t="shared" si="1"/>
        <v>1</v>
      </c>
    </row>
    <row r="72" spans="1:8" x14ac:dyDescent="0.35">
      <c r="A72" t="s">
        <v>7</v>
      </c>
      <c r="B72">
        <v>2023</v>
      </c>
      <c r="C72" t="s">
        <v>11</v>
      </c>
      <c r="D72" t="s">
        <v>9</v>
      </c>
      <c r="E72" t="s">
        <v>10</v>
      </c>
      <c r="F72">
        <v>39.720355987548999</v>
      </c>
      <c r="G72">
        <v>39279682.470081002</v>
      </c>
      <c r="H72">
        <f t="shared" si="1"/>
        <v>1</v>
      </c>
    </row>
    <row r="73" spans="1:8" x14ac:dyDescent="0.35">
      <c r="A73" t="s">
        <v>7</v>
      </c>
      <c r="B73">
        <v>2023</v>
      </c>
      <c r="C73" t="s">
        <v>12</v>
      </c>
      <c r="D73" t="s">
        <v>9</v>
      </c>
      <c r="E73" t="s">
        <v>10</v>
      </c>
      <c r="F73">
        <v>44.900604248047003</v>
      </c>
      <c r="G73">
        <v>13380890.136782</v>
      </c>
      <c r="H73">
        <f t="shared" si="1"/>
        <v>1</v>
      </c>
    </row>
    <row r="74" spans="1:8" x14ac:dyDescent="0.35">
      <c r="A74" t="s">
        <v>7</v>
      </c>
      <c r="B74">
        <v>2024</v>
      </c>
      <c r="C74" t="s">
        <v>8</v>
      </c>
      <c r="D74" t="s">
        <v>9</v>
      </c>
      <c r="E74" t="s">
        <v>10</v>
      </c>
      <c r="F74">
        <v>42.04887008667</v>
      </c>
      <c r="G74">
        <v>55529639.862589002</v>
      </c>
      <c r="H74">
        <f t="shared" si="1"/>
        <v>1</v>
      </c>
    </row>
    <row r="75" spans="1:8" x14ac:dyDescent="0.35">
      <c r="A75" t="s">
        <v>7</v>
      </c>
      <c r="B75">
        <v>2024</v>
      </c>
      <c r="C75" t="s">
        <v>11</v>
      </c>
      <c r="D75" t="s">
        <v>9</v>
      </c>
      <c r="E75" t="s">
        <v>10</v>
      </c>
      <c r="F75">
        <v>41.108932495117003</v>
      </c>
      <c r="G75">
        <v>41443190.869592004</v>
      </c>
      <c r="H75">
        <f t="shared" si="1"/>
        <v>1</v>
      </c>
    </row>
    <row r="76" spans="1:8" x14ac:dyDescent="0.35">
      <c r="A76" t="s">
        <v>7</v>
      </c>
      <c r="B76">
        <v>2024</v>
      </c>
      <c r="C76" t="s">
        <v>12</v>
      </c>
      <c r="D76" t="s">
        <v>9</v>
      </c>
      <c r="E76" t="s">
        <v>10</v>
      </c>
      <c r="F76">
        <v>45.081443786621001</v>
      </c>
      <c r="G76">
        <v>14086445.463097</v>
      </c>
      <c r="H76">
        <f t="shared" si="1"/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5" x14ac:dyDescent="0.35"/>
  <cols>
    <col min="1" max="1" width="11.81640625" customWidth="1"/>
  </cols>
  <sheetData>
    <row r="1" spans="1:2" x14ac:dyDescent="0.35">
      <c r="A1" t="s">
        <v>13</v>
      </c>
    </row>
    <row r="2" spans="1:2" x14ac:dyDescent="0.35">
      <c r="A2" t="s">
        <v>14</v>
      </c>
      <c r="B2">
        <f>COUNTA([1]Sheet1!B2:B77)</f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Wash_Data</vt:lpstr>
      <vt:lpstr>Data_Quality_Check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Eyob Mulugeta</dc:creator>
  <cp:lastModifiedBy>Eyob Mulugeta</cp:lastModifiedBy>
  <dcterms:created xsi:type="dcterms:W3CDTF">2026-10-23T18:38:11Z</dcterms:created>
  <dcterms:modified xsi:type="dcterms:W3CDTF">2026-10-23T19:56:22Z</dcterms:modified>
</cp:coreProperties>
</file>